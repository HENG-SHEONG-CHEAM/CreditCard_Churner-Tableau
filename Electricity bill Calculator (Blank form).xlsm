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90" windowHeight="7035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1" l="1"/>
  <c r="O13" i="1" s="1"/>
  <c r="F12" i="2"/>
  <c r="H12" i="2" s="1"/>
  <c r="F4" i="2"/>
  <c r="H4" i="2" s="1"/>
  <c r="O4" i="2"/>
  <c r="O8" i="2" s="1"/>
  <c r="M4" i="2"/>
  <c r="M8" i="2" s="1"/>
  <c r="F6" i="2" l="1"/>
  <c r="F8" i="2" s="1"/>
  <c r="H8" i="2" s="1"/>
  <c r="R4" i="2"/>
  <c r="F10" i="2" l="1"/>
  <c r="H10" i="2" s="1"/>
  <c r="O6" i="2" s="1"/>
  <c r="O10" i="2" s="1"/>
  <c r="O12" i="2" s="1"/>
  <c r="R12" i="2" s="1"/>
  <c r="I11" i="1" s="1"/>
  <c r="H6" i="2"/>
  <c r="H14" i="2" s="1"/>
  <c r="I7" i="1" s="1"/>
  <c r="M6" i="2"/>
  <c r="R6" i="2" s="1"/>
  <c r="R14" i="2" s="1"/>
  <c r="R8" i="2"/>
  <c r="I9" i="1" s="1"/>
  <c r="M10" i="2"/>
  <c r="R10" i="2" s="1"/>
  <c r="R16" i="2" l="1"/>
  <c r="I13" i="1" s="1"/>
  <c r="R7" i="1" s="1"/>
</calcChain>
</file>

<file path=xl/sharedStrings.xml><?xml version="1.0" encoding="utf-8"?>
<sst xmlns="http://schemas.openxmlformats.org/spreadsheetml/2006/main" count="38" uniqueCount="35">
  <si>
    <t>Monthly Electric Bill (Domestic)</t>
  </si>
  <si>
    <t xml:space="preserve">  Total Consumption (kWh)
</t>
  </si>
  <si>
    <t>ICPT (-2sen/kWh)</t>
  </si>
  <si>
    <t>6% Service Tax</t>
  </si>
  <si>
    <t>TOTAL</t>
  </si>
  <si>
    <t>Tariff Calculation</t>
  </si>
  <si>
    <t>First 200 kWh</t>
  </si>
  <si>
    <t>Next 100 kWh</t>
  </si>
  <si>
    <t xml:space="preserve">Next 300 kWh </t>
  </si>
  <si>
    <t>Next 300 kWh</t>
  </si>
  <si>
    <t>Next 901 kWh onwards</t>
  </si>
  <si>
    <t>Amount</t>
  </si>
  <si>
    <t>Amount (RM)</t>
  </si>
  <si>
    <t xml:space="preserve">kWh </t>
  </si>
  <si>
    <t>Rate/kWh (RM)</t>
  </si>
  <si>
    <t>Total (RM)</t>
  </si>
  <si>
    <t>Details</t>
  </si>
  <si>
    <t>Consumption(kWh)</t>
  </si>
  <si>
    <t>Service Tax Not Applicable</t>
  </si>
  <si>
    <t>Service Tax Applicable</t>
  </si>
  <si>
    <t>Total</t>
  </si>
  <si>
    <t xml:space="preserve">Rebate ICPT (RM) </t>
  </si>
  <si>
    <t>Amount Inclusive of ICPT (RM)</t>
  </si>
  <si>
    <t>Service Tax (6%)</t>
  </si>
  <si>
    <t>KWTBB (1.6%)</t>
  </si>
  <si>
    <t>-</t>
  </si>
  <si>
    <t>Net Amount (RM)</t>
  </si>
  <si>
    <t xml:space="preserve">Amount </t>
  </si>
  <si>
    <t>Penalty (1%)</t>
  </si>
  <si>
    <t>Number of days outstanding</t>
  </si>
  <si>
    <t xml:space="preserve">Total </t>
  </si>
  <si>
    <t>Outstanding bill (RM)</t>
  </si>
  <si>
    <t>Estimated Bill (RM)</t>
  </si>
  <si>
    <t>TOTAL AMOUNT TO PAY (RM)</t>
  </si>
  <si>
    <t>Please insert your values in these blue boxes (if any)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</si>
</sst>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i/>
      <sz val="16"/>
      <color theme="1"/>
      <name val="Times New Roman"/>
      <family val="1"/>
    </font>
    <font>
      <b/>
      <sz val="16"/>
      <color theme="1"/>
      <name val="Calibri"/>
      <family val="2"/>
      <scheme val="minor"/>
    </font>
    <font>
      <b/>
      <i/>
      <sz val="18"/>
      <color rgb="FF000000"/>
      <name val="Calibri"/>
      <family val="2"/>
    </font>
    <font>
      <b/>
      <i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Protection="1"/>
    <xf numFmtId="0" fontId="1" fillId="0" borderId="0" xfId="0" applyFont="1" applyBorder="1" applyAlignme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0" fillId="2" borderId="4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4" xfId="0" applyFill="1" applyBorder="1" applyAlignment="1" applyProtection="1">
      <alignment horizontal="center" vertical="center"/>
    </xf>
    <xf numFmtId="2" fontId="0" fillId="0" borderId="4" xfId="0" applyNumberFormat="1" applyBorder="1" applyAlignment="1" applyProtection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</xf>
    <xf numFmtId="2" fontId="0" fillId="0" borderId="14" xfId="0" applyNumberForma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 wrapText="1"/>
    </xf>
    <xf numFmtId="0" fontId="0" fillId="2" borderId="18" xfId="0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</xdr:row>
          <xdr:rowOff>47625</xdr:rowOff>
        </xdr:from>
        <xdr:to>
          <xdr:col>13</xdr:col>
          <xdr:colOff>523875</xdr:colOff>
          <xdr:row>17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estimated bill's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16</xdr:row>
          <xdr:rowOff>66675</xdr:rowOff>
        </xdr:from>
        <xdr:to>
          <xdr:col>11</xdr:col>
          <xdr:colOff>504825</xdr:colOff>
          <xdr:row>18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18"/>
  <sheetViews>
    <sheetView tabSelected="1" workbookViewId="0">
      <selection activeCell="R13" sqref="R13"/>
    </sheetView>
  </sheetViews>
  <sheetFormatPr defaultRowHeight="15" x14ac:dyDescent="0.25"/>
  <cols>
    <col min="3" max="3" width="16.7109375" customWidth="1"/>
    <col min="6" max="6" width="2.7109375" customWidth="1"/>
    <col min="11" max="11" width="2.5703125" customWidth="1"/>
    <col min="14" max="14" width="11" customWidth="1"/>
    <col min="17" max="17" width="2.7109375" customWidth="1"/>
    <col min="19" max="19" width="30" customWidth="1"/>
  </cols>
  <sheetData>
    <row r="1" spans="2:19" x14ac:dyDescent="0.25">
      <c r="B1" s="23" t="s">
        <v>34</v>
      </c>
      <c r="C1" s="24"/>
      <c r="D1" s="24"/>
      <c r="E1" s="24"/>
      <c r="F1" s="24"/>
      <c r="G1" s="24"/>
      <c r="H1" s="24"/>
      <c r="I1" s="24"/>
      <c r="J1" s="25"/>
    </row>
    <row r="2" spans="2:19" ht="15.75" thickBot="1" x14ac:dyDescent="0.3">
      <c r="B2" s="26"/>
      <c r="C2" s="27"/>
      <c r="D2" s="27"/>
      <c r="E2" s="27"/>
      <c r="F2" s="27"/>
      <c r="G2" s="27"/>
      <c r="H2" s="27"/>
      <c r="I2" s="27"/>
      <c r="J2" s="28"/>
    </row>
    <row r="3" spans="2:19" ht="15.75" thickBot="1" x14ac:dyDescent="0.3"/>
    <row r="4" spans="2:19" ht="15" customHeight="1" x14ac:dyDescent="0.25">
      <c r="B4" s="33" t="s">
        <v>0</v>
      </c>
      <c r="C4" s="34"/>
      <c r="D4" s="34"/>
      <c r="E4" s="35"/>
      <c r="G4" s="47" t="s">
        <v>32</v>
      </c>
      <c r="H4" s="48"/>
      <c r="I4" s="48"/>
      <c r="J4" s="49"/>
      <c r="L4" s="4" t="s">
        <v>31</v>
      </c>
      <c r="M4" s="5"/>
      <c r="N4" s="5"/>
      <c r="O4" s="5"/>
      <c r="P4" s="6"/>
      <c r="R4" s="4" t="s">
        <v>33</v>
      </c>
      <c r="S4" s="6"/>
    </row>
    <row r="5" spans="2:19" ht="15" customHeight="1" x14ac:dyDescent="0.25">
      <c r="B5" s="36"/>
      <c r="C5" s="37"/>
      <c r="D5" s="37"/>
      <c r="E5" s="38"/>
      <c r="G5" s="50"/>
      <c r="H5" s="51"/>
      <c r="I5" s="51"/>
      <c r="J5" s="52"/>
      <c r="L5" s="7"/>
      <c r="M5" s="8"/>
      <c r="N5" s="8"/>
      <c r="O5" s="8"/>
      <c r="P5" s="9"/>
      <c r="R5" s="7"/>
      <c r="S5" s="9"/>
    </row>
    <row r="6" spans="2:19" ht="15.75" customHeight="1" thickBot="1" x14ac:dyDescent="0.3">
      <c r="B6" s="36"/>
      <c r="C6" s="37"/>
      <c r="D6" s="37"/>
      <c r="E6" s="38"/>
      <c r="G6" s="53"/>
      <c r="H6" s="54"/>
      <c r="I6" s="54"/>
      <c r="J6" s="55"/>
      <c r="L6" s="10"/>
      <c r="M6" s="11"/>
      <c r="N6" s="11"/>
      <c r="O6" s="11"/>
      <c r="P6" s="12"/>
      <c r="R6" s="10"/>
      <c r="S6" s="12"/>
    </row>
    <row r="7" spans="2:19" x14ac:dyDescent="0.25">
      <c r="B7" s="39" t="s">
        <v>1</v>
      </c>
      <c r="C7" s="40"/>
      <c r="D7" s="43"/>
      <c r="E7" s="44"/>
      <c r="G7" s="17" t="s">
        <v>11</v>
      </c>
      <c r="H7" s="14"/>
      <c r="I7" s="17">
        <f>Sheet2!H14</f>
        <v>0</v>
      </c>
      <c r="J7" s="14"/>
      <c r="L7" s="17" t="s">
        <v>27</v>
      </c>
      <c r="M7" s="18"/>
      <c r="N7" s="14"/>
      <c r="O7" s="29"/>
      <c r="P7" s="30"/>
      <c r="R7" s="13">
        <f>O13+I13</f>
        <v>0</v>
      </c>
      <c r="S7" s="14"/>
    </row>
    <row r="8" spans="2:19" ht="15.75" thickBot="1" x14ac:dyDescent="0.3">
      <c r="B8" s="41"/>
      <c r="C8" s="42"/>
      <c r="D8" s="45"/>
      <c r="E8" s="46"/>
      <c r="G8" s="15"/>
      <c r="H8" s="16"/>
      <c r="I8" s="15"/>
      <c r="J8" s="16"/>
      <c r="L8" s="15"/>
      <c r="M8" s="19"/>
      <c r="N8" s="16"/>
      <c r="O8" s="31"/>
      <c r="P8" s="32"/>
      <c r="R8" s="15"/>
      <c r="S8" s="16"/>
    </row>
    <row r="9" spans="2:19" x14ac:dyDescent="0.25">
      <c r="G9" s="17" t="s">
        <v>2</v>
      </c>
      <c r="H9" s="14"/>
      <c r="I9" s="17">
        <f>Sheet2!R8</f>
        <v>0</v>
      </c>
      <c r="J9" s="14"/>
      <c r="L9" s="17" t="s">
        <v>29</v>
      </c>
      <c r="M9" s="18"/>
      <c r="N9" s="14"/>
      <c r="O9" s="29"/>
      <c r="P9" s="30"/>
    </row>
    <row r="10" spans="2:19" ht="15.75" customHeight="1" thickBot="1" x14ac:dyDescent="0.3">
      <c r="B10" s="3"/>
      <c r="C10" s="3"/>
      <c r="D10" s="3"/>
      <c r="E10" s="3"/>
      <c r="G10" s="15"/>
      <c r="H10" s="16"/>
      <c r="I10" s="15"/>
      <c r="J10" s="16"/>
      <c r="L10" s="15"/>
      <c r="M10" s="19"/>
      <c r="N10" s="16"/>
      <c r="O10" s="31"/>
      <c r="P10" s="32"/>
    </row>
    <row r="11" spans="2:19" ht="15.75" customHeight="1" x14ac:dyDescent="0.25">
      <c r="B11" s="3"/>
      <c r="C11" s="3"/>
      <c r="D11" s="3"/>
      <c r="E11" s="3"/>
      <c r="G11" s="17" t="s">
        <v>3</v>
      </c>
      <c r="H11" s="14"/>
      <c r="I11" s="17">
        <f>Sheet2!R12</f>
        <v>0</v>
      </c>
      <c r="J11" s="14"/>
      <c r="L11" s="17" t="s">
        <v>28</v>
      </c>
      <c r="M11" s="18"/>
      <c r="N11" s="14"/>
      <c r="O11" s="17">
        <f>O7*0.01*(O9/30)</f>
        <v>0</v>
      </c>
      <c r="P11" s="14"/>
    </row>
    <row r="12" spans="2:19" ht="15.75" thickBot="1" x14ac:dyDescent="0.3">
      <c r="G12" s="15"/>
      <c r="H12" s="16"/>
      <c r="I12" s="15"/>
      <c r="J12" s="16"/>
      <c r="L12" s="15"/>
      <c r="M12" s="19"/>
      <c r="N12" s="16"/>
      <c r="O12" s="15"/>
      <c r="P12" s="16"/>
    </row>
    <row r="13" spans="2:19" x14ac:dyDescent="0.25">
      <c r="G13" s="17" t="s">
        <v>4</v>
      </c>
      <c r="H13" s="14"/>
      <c r="I13" s="13">
        <f>Sheet2!R16</f>
        <v>0</v>
      </c>
      <c r="J13" s="14"/>
      <c r="L13" s="17" t="s">
        <v>30</v>
      </c>
      <c r="M13" s="18"/>
      <c r="N13" s="14"/>
      <c r="O13" s="13">
        <f>O7+O11</f>
        <v>0</v>
      </c>
      <c r="P13" s="20"/>
    </row>
    <row r="14" spans="2:19" ht="15.75" thickBot="1" x14ac:dyDescent="0.3">
      <c r="G14" s="15"/>
      <c r="H14" s="16"/>
      <c r="I14" s="15"/>
      <c r="J14" s="16"/>
      <c r="L14" s="15"/>
      <c r="M14" s="19"/>
      <c r="N14" s="16"/>
      <c r="O14" s="21"/>
      <c r="P14" s="22"/>
    </row>
    <row r="15" spans="2:19" x14ac:dyDescent="0.25">
      <c r="L15" s="1"/>
      <c r="M15" s="1"/>
      <c r="N15" s="1"/>
      <c r="O15" s="1"/>
      <c r="P15" s="1"/>
    </row>
    <row r="16" spans="2:19" x14ac:dyDescent="0.25">
      <c r="L16" s="1"/>
      <c r="M16" s="1"/>
      <c r="N16" s="1"/>
      <c r="O16" s="1"/>
      <c r="P16" s="1"/>
    </row>
    <row r="17" spans="12:16" x14ac:dyDescent="0.25">
      <c r="L17" s="1"/>
      <c r="M17" s="1"/>
      <c r="N17" s="1"/>
      <c r="O17" s="1"/>
      <c r="P17" s="1"/>
    </row>
    <row r="18" spans="12:16" x14ac:dyDescent="0.25">
      <c r="L18" s="1"/>
      <c r="M18" s="1"/>
      <c r="N18" s="1"/>
      <c r="O18" s="1"/>
      <c r="P18" s="1"/>
    </row>
  </sheetData>
  <mergeCells count="24">
    <mergeCell ref="G11:H12"/>
    <mergeCell ref="I9:J10"/>
    <mergeCell ref="I11:J12"/>
    <mergeCell ref="G13:H14"/>
    <mergeCell ref="I13:J14"/>
    <mergeCell ref="B1:J2"/>
    <mergeCell ref="L7:N8"/>
    <mergeCell ref="O7:P8"/>
    <mergeCell ref="L9:N10"/>
    <mergeCell ref="O9:P10"/>
    <mergeCell ref="B4:E6"/>
    <mergeCell ref="B7:C8"/>
    <mergeCell ref="D7:E8"/>
    <mergeCell ref="G4:J6"/>
    <mergeCell ref="G7:H8"/>
    <mergeCell ref="I7:J8"/>
    <mergeCell ref="G9:H10"/>
    <mergeCell ref="L4:P6"/>
    <mergeCell ref="R4:S6"/>
    <mergeCell ref="R7:S8"/>
    <mergeCell ref="O11:P12"/>
    <mergeCell ref="L13:N14"/>
    <mergeCell ref="O13:P14"/>
    <mergeCell ref="L11:N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_details">
                <anchor moveWithCells="1" sizeWithCells="1">
                  <from>
                    <xdr:col>7</xdr:col>
                    <xdr:colOff>9525</xdr:colOff>
                    <xdr:row>15</xdr:row>
                    <xdr:rowOff>47625</xdr:rowOff>
                  </from>
                  <to>
                    <xdr:col>13</xdr:col>
                    <xdr:colOff>523875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S19"/>
  <sheetViews>
    <sheetView workbookViewId="0">
      <selection activeCell="K19" sqref="K19"/>
    </sheetView>
  </sheetViews>
  <sheetFormatPr defaultRowHeight="15" x14ac:dyDescent="0.25"/>
  <cols>
    <col min="1" max="1" width="3" customWidth="1"/>
    <col min="5" max="5" width="16.7109375" customWidth="1"/>
    <col min="10" max="10" width="2" customWidth="1"/>
    <col min="12" max="12" width="19.42578125" customWidth="1"/>
    <col min="14" max="14" width="16.140625" customWidth="1"/>
    <col min="17" max="17" width="8.7109375" customWidth="1"/>
  </cols>
  <sheetData>
    <row r="1" spans="2:19" ht="15.75" thickBot="1" x14ac:dyDescent="0.3"/>
    <row r="2" spans="2:19" x14ac:dyDescent="0.25">
      <c r="B2" s="56" t="s">
        <v>5</v>
      </c>
      <c r="C2" s="57"/>
      <c r="D2" s="58"/>
      <c r="E2" s="73" t="s">
        <v>14</v>
      </c>
      <c r="F2" s="56" t="s">
        <v>13</v>
      </c>
      <c r="G2" s="58"/>
      <c r="H2" s="56" t="s">
        <v>11</v>
      </c>
      <c r="I2" s="58"/>
      <c r="J2" s="2"/>
      <c r="K2" s="56" t="s">
        <v>16</v>
      </c>
      <c r="L2" s="58"/>
      <c r="M2" s="56" t="s">
        <v>18</v>
      </c>
      <c r="N2" s="58"/>
      <c r="O2" s="72" t="s">
        <v>19</v>
      </c>
      <c r="P2" s="57"/>
      <c r="Q2" s="58"/>
      <c r="R2" s="56" t="s">
        <v>20</v>
      </c>
      <c r="S2" s="58"/>
    </row>
    <row r="3" spans="2:19" ht="15.75" thickBot="1" x14ac:dyDescent="0.3">
      <c r="B3" s="59"/>
      <c r="C3" s="60"/>
      <c r="D3" s="61"/>
      <c r="E3" s="74"/>
      <c r="F3" s="59"/>
      <c r="G3" s="61"/>
      <c r="H3" s="59"/>
      <c r="I3" s="61"/>
      <c r="J3" s="2"/>
      <c r="K3" s="59"/>
      <c r="L3" s="61"/>
      <c r="M3" s="59"/>
      <c r="N3" s="61"/>
      <c r="O3" s="59"/>
      <c r="P3" s="60"/>
      <c r="Q3" s="61"/>
      <c r="R3" s="59"/>
      <c r="S3" s="61"/>
    </row>
    <row r="4" spans="2:19" x14ac:dyDescent="0.25">
      <c r="B4" s="66" t="s">
        <v>6</v>
      </c>
      <c r="C4" s="67"/>
      <c r="D4" s="68"/>
      <c r="E4" s="75">
        <v>0.218</v>
      </c>
      <c r="F4" s="66">
        <f>IF(Sheet1!$D$7&gt;=200,200,IF(Sheet1!$D$7&gt;0,Sheet1!$D$7,0))</f>
        <v>0</v>
      </c>
      <c r="G4" s="68"/>
      <c r="H4" s="66">
        <f>IF(F4&gt;=0,E4*F4,0)</f>
        <v>0</v>
      </c>
      <c r="I4" s="68"/>
      <c r="J4" s="2"/>
      <c r="K4" s="66" t="s">
        <v>17</v>
      </c>
      <c r="L4" s="68"/>
      <c r="M4" s="66">
        <f>IF(Sheet1!D7&gt;=600,600,Sheet1!D7)</f>
        <v>0</v>
      </c>
      <c r="N4" s="68"/>
      <c r="O4" s="66">
        <f>IF(Sheet1!D7&gt;=600,Sheet1!D7-600,0)</f>
        <v>0</v>
      </c>
      <c r="P4" s="67"/>
      <c r="Q4" s="68"/>
      <c r="R4" s="66">
        <f>M4+O4</f>
        <v>0</v>
      </c>
      <c r="S4" s="68"/>
    </row>
    <row r="5" spans="2:19" ht="15.75" thickBot="1" x14ac:dyDescent="0.3">
      <c r="B5" s="69"/>
      <c r="C5" s="70"/>
      <c r="D5" s="71"/>
      <c r="E5" s="76"/>
      <c r="F5" s="69"/>
      <c r="G5" s="71"/>
      <c r="H5" s="69"/>
      <c r="I5" s="71"/>
      <c r="J5" s="2"/>
      <c r="K5" s="69"/>
      <c r="L5" s="71"/>
      <c r="M5" s="69"/>
      <c r="N5" s="71"/>
      <c r="O5" s="69"/>
      <c r="P5" s="70"/>
      <c r="Q5" s="71"/>
      <c r="R5" s="69"/>
      <c r="S5" s="71"/>
    </row>
    <row r="6" spans="2:19" x14ac:dyDescent="0.25">
      <c r="B6" s="66" t="s">
        <v>7</v>
      </c>
      <c r="C6" s="67"/>
      <c r="D6" s="68"/>
      <c r="E6" s="75">
        <v>0.33400000000000002</v>
      </c>
      <c r="F6" s="66">
        <f>IF(Sheet1!$D$7-200&gt;=100,100,IF(F4&gt;=200,Sheet1!$D$7-200,0))</f>
        <v>0</v>
      </c>
      <c r="G6" s="68"/>
      <c r="H6" s="66">
        <f>IF(F6&gt;=0,E6*F6,0)</f>
        <v>0</v>
      </c>
      <c r="I6" s="68"/>
      <c r="J6" s="2"/>
      <c r="K6" s="66" t="s">
        <v>12</v>
      </c>
      <c r="L6" s="68"/>
      <c r="M6" s="66">
        <f>H4+H6+H8</f>
        <v>0</v>
      </c>
      <c r="N6" s="68"/>
      <c r="O6" s="66">
        <f>H10+H12</f>
        <v>0</v>
      </c>
      <c r="P6" s="67"/>
      <c r="Q6" s="68"/>
      <c r="R6" s="66">
        <f>M6+O6</f>
        <v>0</v>
      </c>
      <c r="S6" s="68"/>
    </row>
    <row r="7" spans="2:19" ht="15.75" thickBot="1" x14ac:dyDescent="0.3">
      <c r="B7" s="69"/>
      <c r="C7" s="70"/>
      <c r="D7" s="71"/>
      <c r="E7" s="76"/>
      <c r="F7" s="69"/>
      <c r="G7" s="71"/>
      <c r="H7" s="69"/>
      <c r="I7" s="71"/>
      <c r="J7" s="2"/>
      <c r="K7" s="69"/>
      <c r="L7" s="71"/>
      <c r="M7" s="69"/>
      <c r="N7" s="71"/>
      <c r="O7" s="69"/>
      <c r="P7" s="70"/>
      <c r="Q7" s="71"/>
      <c r="R7" s="69"/>
      <c r="S7" s="71"/>
    </row>
    <row r="8" spans="2:19" x14ac:dyDescent="0.25">
      <c r="B8" s="66" t="s">
        <v>8</v>
      </c>
      <c r="C8" s="67"/>
      <c r="D8" s="68"/>
      <c r="E8" s="75">
        <v>0.51600000000000001</v>
      </c>
      <c r="F8" s="66">
        <f>IF(Sheet1!D7-200-100&gt;=300,300,IF(F6&gt;=100,Sheet1!D7-200-100,0))</f>
        <v>0</v>
      </c>
      <c r="G8" s="68"/>
      <c r="H8" s="66">
        <f t="shared" ref="H8" si="0">IF(F8&gt;=0,E8*F8,0)</f>
        <v>0</v>
      </c>
      <c r="I8" s="68"/>
      <c r="J8" s="2"/>
      <c r="K8" s="66" t="s">
        <v>21</v>
      </c>
      <c r="L8" s="68"/>
      <c r="M8" s="66">
        <f>M4*0.02</f>
        <v>0</v>
      </c>
      <c r="N8" s="68"/>
      <c r="O8" s="66">
        <f>O4*0.02</f>
        <v>0</v>
      </c>
      <c r="P8" s="67"/>
      <c r="Q8" s="68"/>
      <c r="R8" s="66">
        <f>M8+O8</f>
        <v>0</v>
      </c>
      <c r="S8" s="68"/>
    </row>
    <row r="9" spans="2:19" ht="15.75" thickBot="1" x14ac:dyDescent="0.3">
      <c r="B9" s="69"/>
      <c r="C9" s="70"/>
      <c r="D9" s="71"/>
      <c r="E9" s="76"/>
      <c r="F9" s="69"/>
      <c r="G9" s="71"/>
      <c r="H9" s="69"/>
      <c r="I9" s="71"/>
      <c r="J9" s="2"/>
      <c r="K9" s="69"/>
      <c r="L9" s="71"/>
      <c r="M9" s="69"/>
      <c r="N9" s="71"/>
      <c r="O9" s="69"/>
      <c r="P9" s="70"/>
      <c r="Q9" s="71"/>
      <c r="R9" s="69"/>
      <c r="S9" s="71"/>
    </row>
    <row r="10" spans="2:19" x14ac:dyDescent="0.25">
      <c r="B10" s="66" t="s">
        <v>9</v>
      </c>
      <c r="C10" s="67"/>
      <c r="D10" s="68"/>
      <c r="E10" s="75">
        <v>0.54600000000000004</v>
      </c>
      <c r="F10" s="66">
        <f>IF(Sheet1!D7-200-100-300&gt;=300,300,IF(F8&gt;=300,Sheet1!D7-200-100-300,0))</f>
        <v>0</v>
      </c>
      <c r="G10" s="68"/>
      <c r="H10" s="66">
        <f t="shared" ref="H10" si="1">IF(F10&gt;=0,E10*F10,0)</f>
        <v>0</v>
      </c>
      <c r="I10" s="68"/>
      <c r="J10" s="2"/>
      <c r="K10" s="66" t="s">
        <v>22</v>
      </c>
      <c r="L10" s="68"/>
      <c r="M10" s="66">
        <f>M6-M8</f>
        <v>0</v>
      </c>
      <c r="N10" s="68"/>
      <c r="O10" s="66">
        <f>O6-O8</f>
        <v>0</v>
      </c>
      <c r="P10" s="67"/>
      <c r="Q10" s="68"/>
      <c r="R10" s="66">
        <f>M10+O10</f>
        <v>0</v>
      </c>
      <c r="S10" s="68"/>
    </row>
    <row r="11" spans="2:19" ht="15.75" thickBot="1" x14ac:dyDescent="0.3">
      <c r="B11" s="69"/>
      <c r="C11" s="70"/>
      <c r="D11" s="71"/>
      <c r="E11" s="76"/>
      <c r="F11" s="69"/>
      <c r="G11" s="71"/>
      <c r="H11" s="69"/>
      <c r="I11" s="71"/>
      <c r="J11" s="2"/>
      <c r="K11" s="69"/>
      <c r="L11" s="71"/>
      <c r="M11" s="69"/>
      <c r="N11" s="71"/>
      <c r="O11" s="69"/>
      <c r="P11" s="70"/>
      <c r="Q11" s="71"/>
      <c r="R11" s="69"/>
      <c r="S11" s="71"/>
    </row>
    <row r="12" spans="2:19" x14ac:dyDescent="0.25">
      <c r="B12" s="66" t="s">
        <v>10</v>
      </c>
      <c r="C12" s="67"/>
      <c r="D12" s="68"/>
      <c r="E12" s="75">
        <v>0.57099999999999995</v>
      </c>
      <c r="F12" s="66">
        <f>IF(Sheet1!D7-200-100-300-300&gt;=0,Sheet1!D7-200-100-300-300,0)</f>
        <v>0</v>
      </c>
      <c r="G12" s="68"/>
      <c r="H12" s="66">
        <f t="shared" ref="H12" si="2">IF(F12&gt;=0,E12*F12,0)</f>
        <v>0</v>
      </c>
      <c r="I12" s="68"/>
      <c r="J12" s="2"/>
      <c r="K12" s="66" t="s">
        <v>23</v>
      </c>
      <c r="L12" s="68"/>
      <c r="M12" s="66" t="s">
        <v>25</v>
      </c>
      <c r="N12" s="68"/>
      <c r="O12" s="66">
        <f>O10*0.06</f>
        <v>0</v>
      </c>
      <c r="P12" s="67"/>
      <c r="Q12" s="68"/>
      <c r="R12" s="66">
        <f>O12</f>
        <v>0</v>
      </c>
      <c r="S12" s="68"/>
    </row>
    <row r="13" spans="2:19" ht="15.75" thickBot="1" x14ac:dyDescent="0.3">
      <c r="B13" s="69"/>
      <c r="C13" s="70"/>
      <c r="D13" s="71"/>
      <c r="E13" s="76"/>
      <c r="F13" s="69"/>
      <c r="G13" s="71"/>
      <c r="H13" s="69"/>
      <c r="I13" s="71"/>
      <c r="J13" s="2"/>
      <c r="K13" s="69"/>
      <c r="L13" s="71"/>
      <c r="M13" s="69"/>
      <c r="N13" s="71"/>
      <c r="O13" s="69"/>
      <c r="P13" s="70"/>
      <c r="Q13" s="71"/>
      <c r="R13" s="69"/>
      <c r="S13" s="71"/>
    </row>
    <row r="14" spans="2:19" x14ac:dyDescent="0.25">
      <c r="B14" s="2"/>
      <c r="C14" s="2"/>
      <c r="D14" s="2"/>
      <c r="E14" s="2"/>
      <c r="F14" s="56" t="s">
        <v>15</v>
      </c>
      <c r="G14" s="58"/>
      <c r="H14" s="66">
        <f>IF(Sheet1!D7=0,0,H4+H6+H8+H10+H12)</f>
        <v>0</v>
      </c>
      <c r="I14" s="68"/>
      <c r="J14" s="2"/>
      <c r="K14" s="66" t="s">
        <v>24</v>
      </c>
      <c r="L14" s="68"/>
      <c r="M14" s="66" t="s">
        <v>25</v>
      </c>
      <c r="N14" s="68"/>
      <c r="O14" s="66" t="s">
        <v>25</v>
      </c>
      <c r="P14" s="67"/>
      <c r="Q14" s="68"/>
      <c r="R14" s="66">
        <f>R6*0.016</f>
        <v>0</v>
      </c>
      <c r="S14" s="68"/>
    </row>
    <row r="15" spans="2:19" ht="15.75" thickBot="1" x14ac:dyDescent="0.3">
      <c r="B15" s="2"/>
      <c r="C15" s="2"/>
      <c r="D15" s="2"/>
      <c r="E15" s="2"/>
      <c r="F15" s="59"/>
      <c r="G15" s="61"/>
      <c r="H15" s="69"/>
      <c r="I15" s="71"/>
      <c r="J15" s="2"/>
      <c r="K15" s="69"/>
      <c r="L15" s="71"/>
      <c r="M15" s="69"/>
      <c r="N15" s="71"/>
      <c r="O15" s="69"/>
      <c r="P15" s="70"/>
      <c r="Q15" s="71"/>
      <c r="R15" s="69"/>
      <c r="S15" s="71"/>
    </row>
    <row r="16" spans="2:19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56" t="s">
        <v>26</v>
      </c>
      <c r="P16" s="57"/>
      <c r="Q16" s="58"/>
      <c r="R16" s="62">
        <f>R10+R12+R14</f>
        <v>0</v>
      </c>
      <c r="S16" s="63"/>
    </row>
    <row r="17" spans="2:19" ht="15.75" thickBot="1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59"/>
      <c r="P17" s="60"/>
      <c r="Q17" s="61"/>
      <c r="R17" s="64"/>
      <c r="S17" s="65"/>
    </row>
    <row r="18" spans="2:19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</sheetData>
  <mergeCells count="56">
    <mergeCell ref="E10:E11"/>
    <mergeCell ref="E12:E13"/>
    <mergeCell ref="B2:D3"/>
    <mergeCell ref="B4:D5"/>
    <mergeCell ref="B6:D7"/>
    <mergeCell ref="B8:D9"/>
    <mergeCell ref="B10:D11"/>
    <mergeCell ref="B12:D13"/>
    <mergeCell ref="F2:G3"/>
    <mergeCell ref="E2:E3"/>
    <mergeCell ref="E4:E5"/>
    <mergeCell ref="E6:E7"/>
    <mergeCell ref="E8:E9"/>
    <mergeCell ref="F4:G5"/>
    <mergeCell ref="F6:G7"/>
    <mergeCell ref="F8:G9"/>
    <mergeCell ref="F10:G11"/>
    <mergeCell ref="F12:G13"/>
    <mergeCell ref="F14:G15"/>
    <mergeCell ref="H14:I15"/>
    <mergeCell ref="K2:L3"/>
    <mergeCell ref="K4:L5"/>
    <mergeCell ref="M2:N3"/>
    <mergeCell ref="M4:N5"/>
    <mergeCell ref="K8:L9"/>
    <mergeCell ref="M8:N9"/>
    <mergeCell ref="K12:L13"/>
    <mergeCell ref="M12:N13"/>
    <mergeCell ref="H2:I3"/>
    <mergeCell ref="H4:I5"/>
    <mergeCell ref="H6:I7"/>
    <mergeCell ref="H8:I9"/>
    <mergeCell ref="H10:I11"/>
    <mergeCell ref="H12:I13"/>
    <mergeCell ref="O2:Q3"/>
    <mergeCell ref="O4:Q5"/>
    <mergeCell ref="R2:S3"/>
    <mergeCell ref="R4:S5"/>
    <mergeCell ref="K6:L7"/>
    <mergeCell ref="M6:N7"/>
    <mergeCell ref="O6:Q7"/>
    <mergeCell ref="R6:S7"/>
    <mergeCell ref="O8:Q9"/>
    <mergeCell ref="R8:S9"/>
    <mergeCell ref="K10:L11"/>
    <mergeCell ref="M10:N11"/>
    <mergeCell ref="O10:Q11"/>
    <mergeCell ref="R10:S11"/>
    <mergeCell ref="O16:Q17"/>
    <mergeCell ref="R16:S17"/>
    <mergeCell ref="O12:Q13"/>
    <mergeCell ref="R12:S13"/>
    <mergeCell ref="K14:L15"/>
    <mergeCell ref="M14:N15"/>
    <mergeCell ref="O14:Q15"/>
    <mergeCell ref="R14:S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_return">
                <anchor moveWithCells="1" sizeWithCells="1">
                  <from>
                    <xdr:col>8</xdr:col>
                    <xdr:colOff>304800</xdr:colOff>
                    <xdr:row>16</xdr:row>
                    <xdr:rowOff>66675</xdr:rowOff>
                  </from>
                  <to>
                    <xdr:col>11</xdr:col>
                    <xdr:colOff>504825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2021-09-04T11:47:03Z</dcterms:created>
  <dcterms:modified xsi:type="dcterms:W3CDTF">2021-09-04T13:51:31Z</dcterms:modified>
</cp:coreProperties>
</file>